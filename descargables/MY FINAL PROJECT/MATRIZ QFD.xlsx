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\Desktop\Ing industrial\sexto\I+D\"/>
    </mc:Choice>
  </mc:AlternateContent>
  <xr:revisionPtr revIDLastSave="0" documentId="13_ncr:1_{ADD332E8-A533-4AA4-9AA5-2BD17EC66832}" xr6:coauthVersionLast="47" xr6:coauthVersionMax="47" xr10:uidLastSave="{00000000-0000-0000-0000-000000000000}"/>
  <bookViews>
    <workbookView xWindow="-108" yWindow="-108" windowWidth="23256" windowHeight="12456" xr2:uid="{F3CF2DBC-D82C-4455-8D44-B2F076F18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" i="1" l="1"/>
  <c r="W11" i="1"/>
  <c r="W12" i="1"/>
  <c r="W13" i="1"/>
  <c r="W14" i="1"/>
  <c r="W15" i="1"/>
  <c r="W16" i="1"/>
  <c r="W17" i="1"/>
  <c r="W18" i="1"/>
  <c r="W19" i="1"/>
  <c r="W9" i="1"/>
  <c r="V10" i="1"/>
  <c r="V11" i="1"/>
  <c r="V12" i="1"/>
  <c r="V13" i="1"/>
  <c r="V14" i="1"/>
  <c r="V15" i="1"/>
  <c r="V16" i="1"/>
  <c r="V17" i="1"/>
  <c r="V18" i="1"/>
  <c r="V19" i="1"/>
  <c r="V9" i="1"/>
  <c r="T10" i="1"/>
  <c r="T11" i="1"/>
  <c r="T12" i="1"/>
  <c r="T13" i="1"/>
  <c r="T14" i="1"/>
  <c r="T15" i="1"/>
  <c r="T16" i="1"/>
  <c r="T17" i="1"/>
  <c r="T18" i="1"/>
  <c r="T19" i="1"/>
  <c r="T9" i="1"/>
  <c r="H20" i="1"/>
  <c r="G20" i="1"/>
  <c r="D20" i="1"/>
  <c r="E20" i="1"/>
  <c r="F20" i="1"/>
  <c r="I20" i="1"/>
  <c r="J20" i="1"/>
  <c r="K20" i="1"/>
  <c r="L20" i="1"/>
  <c r="M20" i="1"/>
  <c r="N20" i="1"/>
</calcChain>
</file>

<file path=xl/sharedStrings.xml><?xml version="1.0" encoding="utf-8"?>
<sst xmlns="http://schemas.openxmlformats.org/spreadsheetml/2006/main" count="38" uniqueCount="38">
  <si>
    <t>Necesidades/ Especificaciones</t>
  </si>
  <si>
    <t>Importancia</t>
  </si>
  <si>
    <t>Precepción nosotros</t>
  </si>
  <si>
    <t>Producto A</t>
  </si>
  <si>
    <t>Producto B</t>
  </si>
  <si>
    <t>Tasa de mejora</t>
  </si>
  <si>
    <t>Valor estratégico</t>
  </si>
  <si>
    <t>Importancia compuesta</t>
  </si>
  <si>
    <t>Importancia relativa %</t>
  </si>
  <si>
    <t>T</t>
  </si>
  <si>
    <t>Importancia ponderara</t>
  </si>
  <si>
    <t>Importancia relativa</t>
  </si>
  <si>
    <t>Target</t>
  </si>
  <si>
    <t>conectar varios equipos al mismo tiempo</t>
  </si>
  <si>
    <t>Seguridad ante sobrecargas</t>
  </si>
  <si>
    <t>Facil transporte</t>
  </si>
  <si>
    <t>Resistencia a golpes y uso continuo</t>
  </si>
  <si>
    <t>Conocer el voltaje de alimentación</t>
  </si>
  <si>
    <t>Facil conexión y desconexión</t>
  </si>
  <si>
    <t>larga vida util</t>
  </si>
  <si>
    <t>Diseño Compacto</t>
  </si>
  <si>
    <t>Conexiones firmes y seguras</t>
  </si>
  <si>
    <t>Diseño del producto</t>
  </si>
  <si>
    <t># de tomacorrientes</t>
  </si>
  <si>
    <t>Corriente maxima soportada</t>
  </si>
  <si>
    <t>15 A o 20A</t>
  </si>
  <si>
    <t>Voltaje nominal</t>
  </si>
  <si>
    <t>120V/240V</t>
  </si>
  <si>
    <t>Material  exterior</t>
  </si>
  <si>
    <t>Espesor carcasa</t>
  </si>
  <si>
    <t>Peso del equipo</t>
  </si>
  <si>
    <t>Tipo de conector</t>
  </si>
  <si>
    <t>Pantalla digital- medición voltaje</t>
  </si>
  <si>
    <t>Calibre cableado interno</t>
  </si>
  <si>
    <t>sistema de protección (fusibles)</t>
  </si>
  <si>
    <t>Dimensiones del equipo</t>
  </si>
  <si>
    <t>Color del producto</t>
  </si>
  <si>
    <t>Valor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</si>
</sst>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3" borderId="5" xfId="0" applyFill="1" applyBorder="1" applyAlignment="1">
      <alignment textRotation="90"/>
    </xf>
    <xf numFmtId="0" fontId="0" fillId="4" borderId="1" xfId="0" applyFill="1" applyBorder="1" applyAlignment="1">
      <alignment textRotation="90"/>
    </xf>
    <xf numFmtId="0" fontId="0" fillId="0" borderId="1" xfId="0" applyBorder="1" applyAlignment="1">
      <alignment textRotation="90"/>
    </xf>
    <xf numFmtId="0" fontId="0" fillId="0" borderId="6" xfId="0" applyBorder="1" applyAlignment="1">
      <alignment textRotation="90"/>
    </xf>
    <xf numFmtId="0" fontId="0" fillId="2" borderId="7" xfId="0" applyFill="1" applyBorder="1"/>
    <xf numFmtId="0" fontId="0" fillId="2" borderId="1" xfId="0" applyFill="1" applyBorder="1"/>
    <xf numFmtId="0" fontId="0" fillId="5" borderId="5" xfId="0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5" borderId="0" xfId="0" applyFill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5" borderId="5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0" xfId="1" applyNumberFormat="1" applyFont="1" applyFill="1"/>
    <xf numFmtId="0" fontId="0" fillId="6" borderId="6" xfId="0" applyFill="1" applyBorder="1"/>
    <xf numFmtId="0" fontId="0" fillId="0" borderId="6" xfId="0" applyBorder="1"/>
    <xf numFmtId="9" fontId="0" fillId="0" borderId="1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1</xdr:row>
      <xdr:rowOff>73479</xdr:rowOff>
    </xdr:from>
    <xdr:to>
      <xdr:col>8</xdr:col>
      <xdr:colOff>130628</xdr:colOff>
      <xdr:row>4</xdr:row>
      <xdr:rowOff>77288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DA15750-3971-392D-807D-8104FA26123B}"/>
            </a:ext>
          </a:extLst>
        </xdr:cNvPr>
        <xdr:cNvSpPr txBox="1"/>
      </xdr:nvSpPr>
      <xdr:spPr>
        <a:xfrm>
          <a:off x="1077685" y="258536"/>
          <a:ext cx="7663543" cy="558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/>
            <a:t>QFD</a:t>
          </a:r>
          <a:r>
            <a:rPr lang="es-EC" sz="2400" b="1" baseline="0"/>
            <a:t>   </a:t>
          </a:r>
          <a:r>
            <a:rPr lang="es-EC" sz="2400" b="1"/>
            <a:t>Cajetines</a:t>
          </a:r>
          <a:r>
            <a:rPr lang="es-EC" sz="2400" b="1" baseline="0"/>
            <a:t> electricos</a:t>
          </a:r>
          <a:endParaRPr lang="es-EC" sz="2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A832-B0DB-470A-97E6-ED58713CF578}">
  <dimension ref="B5:W22"/>
  <sheetViews>
    <sheetView tabSelected="1" zoomScale="70" zoomScaleNormal="70" workbookViewId="0">
      <selection activeCell="I6" sqref="I6"/>
    </sheetView>
  </sheetViews>
  <sheetFormatPr baseColWidth="10" defaultRowHeight="14.4" x14ac:dyDescent="0.3"/>
  <cols>
    <col min="2" max="2" width="44.44140625" customWidth="1"/>
  </cols>
  <sheetData>
    <row r="5" spans="2:23" ht="15" thickBot="1" x14ac:dyDescent="0.35"/>
    <row r="6" spans="2:23" ht="145.80000000000001" x14ac:dyDescent="0.3">
      <c r="B6" s="1" t="s">
        <v>0</v>
      </c>
      <c r="C6" s="2"/>
      <c r="D6" s="3" t="s">
        <v>23</v>
      </c>
      <c r="E6" s="4" t="s">
        <v>24</v>
      </c>
      <c r="F6" s="4" t="s">
        <v>26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4" t="s">
        <v>35</v>
      </c>
      <c r="O6" s="5" t="s">
        <v>1</v>
      </c>
      <c r="P6" s="6" t="s">
        <v>2</v>
      </c>
      <c r="Q6" s="6" t="s">
        <v>3</v>
      </c>
      <c r="R6" s="6" t="s">
        <v>4</v>
      </c>
      <c r="S6" s="7" t="s">
        <v>37</v>
      </c>
      <c r="T6" s="7" t="s">
        <v>5</v>
      </c>
      <c r="U6" s="7" t="s">
        <v>6</v>
      </c>
      <c r="V6" s="7" t="s">
        <v>7</v>
      </c>
      <c r="W6" s="8" t="s">
        <v>8</v>
      </c>
    </row>
    <row r="7" spans="2:23" x14ac:dyDescent="0.3">
      <c r="B7" s="1"/>
      <c r="C7" s="2"/>
      <c r="D7" s="9">
        <v>1</v>
      </c>
      <c r="E7" s="10">
        <v>2</v>
      </c>
      <c r="F7" s="10">
        <v>3</v>
      </c>
      <c r="G7" s="10">
        <v>4</v>
      </c>
      <c r="H7" s="10">
        <v>5</v>
      </c>
      <c r="I7" s="10">
        <v>6</v>
      </c>
      <c r="J7" s="10">
        <v>7</v>
      </c>
      <c r="K7" s="10">
        <v>8</v>
      </c>
      <c r="L7" s="10">
        <v>9</v>
      </c>
      <c r="M7" s="10">
        <v>10</v>
      </c>
      <c r="N7" s="10">
        <v>11</v>
      </c>
      <c r="O7" s="11"/>
      <c r="P7" s="12"/>
      <c r="Q7" s="12"/>
      <c r="R7" s="12"/>
      <c r="S7" s="12"/>
      <c r="T7" s="12"/>
      <c r="U7" s="12"/>
      <c r="V7" s="12"/>
      <c r="W7" s="13"/>
    </row>
    <row r="8" spans="2:23" x14ac:dyDescent="0.3">
      <c r="B8" s="1"/>
      <c r="C8" s="2" t="s">
        <v>9</v>
      </c>
      <c r="D8" s="9">
        <v>1</v>
      </c>
      <c r="E8" s="10">
        <v>-1</v>
      </c>
      <c r="F8" s="10">
        <v>0</v>
      </c>
      <c r="G8" s="10"/>
      <c r="H8" s="10"/>
      <c r="I8" s="10"/>
      <c r="J8" s="10"/>
      <c r="K8" s="10"/>
      <c r="L8" s="10"/>
      <c r="M8" s="10"/>
      <c r="N8" s="10"/>
      <c r="O8" s="11"/>
      <c r="P8" s="12"/>
      <c r="Q8" s="12"/>
      <c r="R8" s="12"/>
      <c r="S8" s="12"/>
      <c r="T8" s="12"/>
      <c r="U8" s="12"/>
      <c r="V8" s="12"/>
      <c r="W8" s="13"/>
    </row>
    <row r="9" spans="2:23" x14ac:dyDescent="0.3">
      <c r="B9" s="14" t="s">
        <v>13</v>
      </c>
      <c r="C9" s="15">
        <v>1</v>
      </c>
      <c r="D9" s="16">
        <v>5</v>
      </c>
      <c r="E9" s="14">
        <v>5</v>
      </c>
      <c r="F9" s="14">
        <v>5</v>
      </c>
      <c r="G9" s="14">
        <v>3</v>
      </c>
      <c r="H9" s="14">
        <v>3</v>
      </c>
      <c r="I9" s="14"/>
      <c r="J9" s="14">
        <v>4</v>
      </c>
      <c r="K9" s="14">
        <v>4</v>
      </c>
      <c r="L9" s="14">
        <v>5</v>
      </c>
      <c r="M9" s="14">
        <v>5</v>
      </c>
      <c r="N9" s="14">
        <v>4</v>
      </c>
      <c r="O9" s="17">
        <v>5</v>
      </c>
      <c r="P9" s="18">
        <v>3</v>
      </c>
      <c r="Q9" s="18">
        <v>3</v>
      </c>
      <c r="R9" s="18">
        <v>3</v>
      </c>
      <c r="S9" s="18">
        <v>5</v>
      </c>
      <c r="T9" s="19">
        <f>S9/P9</f>
        <v>1.6666666666666667</v>
      </c>
      <c r="U9" s="19">
        <v>1</v>
      </c>
      <c r="V9" s="19">
        <f>O9*T9*U9</f>
        <v>8.3333333333333339</v>
      </c>
      <c r="W9" s="20">
        <f>V9/(SUM(V9:V19))</f>
        <v>0.14064697609001406</v>
      </c>
    </row>
    <row r="10" spans="2:23" x14ac:dyDescent="0.3">
      <c r="B10" s="14" t="s">
        <v>14</v>
      </c>
      <c r="C10" s="15">
        <v>2</v>
      </c>
      <c r="D10" s="16">
        <v>4</v>
      </c>
      <c r="E10" s="14">
        <v>5</v>
      </c>
      <c r="F10" s="14">
        <v>5</v>
      </c>
      <c r="G10" s="14"/>
      <c r="H10" s="14"/>
      <c r="I10" s="14"/>
      <c r="J10" s="14">
        <v>3</v>
      </c>
      <c r="K10" s="14">
        <v>4</v>
      </c>
      <c r="L10" s="14">
        <v>5</v>
      </c>
      <c r="M10" s="14">
        <v>5</v>
      </c>
      <c r="N10" s="14"/>
      <c r="O10" s="17">
        <v>5</v>
      </c>
      <c r="P10" s="18">
        <v>4</v>
      </c>
      <c r="Q10" s="18">
        <v>3</v>
      </c>
      <c r="R10" s="18">
        <v>4</v>
      </c>
      <c r="S10" s="18">
        <v>5</v>
      </c>
      <c r="T10" s="19">
        <f t="shared" ref="T10:T19" si="0">S10/P10</f>
        <v>1.25</v>
      </c>
      <c r="U10" s="19">
        <v>1</v>
      </c>
      <c r="V10" s="19">
        <f t="shared" ref="V10:V19" si="1">O10*T10*U10</f>
        <v>6.25</v>
      </c>
      <c r="W10" s="20">
        <f t="shared" ref="W10:W19" si="2">V10/(SUM(V10:V20))</f>
        <v>0.12274959083469722</v>
      </c>
    </row>
    <row r="11" spans="2:23" x14ac:dyDescent="0.3">
      <c r="B11" s="14" t="s">
        <v>15</v>
      </c>
      <c r="C11" s="15">
        <v>3</v>
      </c>
      <c r="D11" s="16"/>
      <c r="E11" s="14"/>
      <c r="F11" s="14"/>
      <c r="G11" s="14">
        <v>5</v>
      </c>
      <c r="H11" s="14">
        <v>4</v>
      </c>
      <c r="I11" s="14">
        <v>5</v>
      </c>
      <c r="J11" s="14"/>
      <c r="K11" s="14"/>
      <c r="L11" s="14"/>
      <c r="M11" s="14"/>
      <c r="N11" s="14">
        <v>5</v>
      </c>
      <c r="O11" s="17">
        <v>3</v>
      </c>
      <c r="P11" s="18">
        <v>3</v>
      </c>
      <c r="Q11" s="18">
        <v>4</v>
      </c>
      <c r="R11" s="18">
        <v>5</v>
      </c>
      <c r="S11" s="18">
        <v>4</v>
      </c>
      <c r="T11" s="19">
        <f t="shared" si="0"/>
        <v>1.3333333333333333</v>
      </c>
      <c r="U11" s="19">
        <v>1.1000000000000001</v>
      </c>
      <c r="V11" s="19">
        <f t="shared" si="1"/>
        <v>4.4000000000000004</v>
      </c>
      <c r="W11" s="20">
        <f t="shared" si="2"/>
        <v>9.8507462686567182E-2</v>
      </c>
    </row>
    <row r="12" spans="2:23" x14ac:dyDescent="0.3">
      <c r="B12" s="14" t="s">
        <v>16</v>
      </c>
      <c r="C12" s="15">
        <v>4</v>
      </c>
      <c r="D12" s="16">
        <v>4</v>
      </c>
      <c r="E12" s="14"/>
      <c r="F12" s="14"/>
      <c r="G12" s="14">
        <v>5</v>
      </c>
      <c r="H12" s="14">
        <v>5</v>
      </c>
      <c r="I12" s="14">
        <v>3</v>
      </c>
      <c r="J12" s="14"/>
      <c r="K12" s="14"/>
      <c r="L12" s="14"/>
      <c r="M12" s="14"/>
      <c r="N12" s="14">
        <v>4</v>
      </c>
      <c r="O12" s="17">
        <v>4</v>
      </c>
      <c r="P12" s="18">
        <v>3</v>
      </c>
      <c r="Q12" s="18">
        <v>4</v>
      </c>
      <c r="R12" s="18">
        <v>5</v>
      </c>
      <c r="S12" s="18">
        <v>5</v>
      </c>
      <c r="T12" s="19">
        <f t="shared" si="0"/>
        <v>1.6666666666666667</v>
      </c>
      <c r="U12" s="19">
        <v>1</v>
      </c>
      <c r="V12" s="19">
        <f t="shared" si="1"/>
        <v>6.666666666666667</v>
      </c>
      <c r="W12" s="20">
        <f t="shared" si="2"/>
        <v>0.16556291390728478</v>
      </c>
    </row>
    <row r="13" spans="2:23" x14ac:dyDescent="0.3">
      <c r="B13" s="14" t="s">
        <v>17</v>
      </c>
      <c r="C13" s="15">
        <v>5</v>
      </c>
      <c r="D13" s="16"/>
      <c r="E13" s="14">
        <v>5</v>
      </c>
      <c r="F13" s="14">
        <v>5</v>
      </c>
      <c r="G13" s="14"/>
      <c r="H13" s="14"/>
      <c r="I13" s="14"/>
      <c r="J13" s="14">
        <v>4</v>
      </c>
      <c r="K13" s="14">
        <v>5</v>
      </c>
      <c r="L13" s="14">
        <v>5</v>
      </c>
      <c r="M13" s="14">
        <v>4</v>
      </c>
      <c r="N13" s="14">
        <v>3</v>
      </c>
      <c r="O13" s="17">
        <v>5</v>
      </c>
      <c r="P13" s="18">
        <v>5</v>
      </c>
      <c r="Q13" s="18">
        <v>3</v>
      </c>
      <c r="R13" s="18">
        <v>2</v>
      </c>
      <c r="S13" s="18">
        <v>5</v>
      </c>
      <c r="T13" s="19">
        <f t="shared" si="0"/>
        <v>1</v>
      </c>
      <c r="U13" s="19">
        <v>1.2</v>
      </c>
      <c r="V13" s="19">
        <f t="shared" si="1"/>
        <v>6</v>
      </c>
      <c r="W13" s="20">
        <f t="shared" si="2"/>
        <v>0.17857142857142858</v>
      </c>
    </row>
    <row r="14" spans="2:23" x14ac:dyDescent="0.3">
      <c r="B14" s="14" t="s">
        <v>18</v>
      </c>
      <c r="C14" s="15">
        <v>6</v>
      </c>
      <c r="D14" s="16">
        <v>5</v>
      </c>
      <c r="E14" s="14"/>
      <c r="F14" s="14"/>
      <c r="G14" s="14">
        <v>3</v>
      </c>
      <c r="H14" s="14"/>
      <c r="I14" s="14"/>
      <c r="J14" s="14">
        <v>5</v>
      </c>
      <c r="K14" s="14"/>
      <c r="L14" s="14">
        <v>4</v>
      </c>
      <c r="M14" s="14">
        <v>5</v>
      </c>
      <c r="N14" s="14">
        <v>5</v>
      </c>
      <c r="O14" s="17">
        <v>3</v>
      </c>
      <c r="P14" s="18">
        <v>3</v>
      </c>
      <c r="Q14" s="18">
        <v>5</v>
      </c>
      <c r="R14" s="18">
        <v>4</v>
      </c>
      <c r="S14" s="18">
        <v>5</v>
      </c>
      <c r="T14" s="19">
        <f t="shared" si="0"/>
        <v>1.6666666666666667</v>
      </c>
      <c r="U14" s="19">
        <v>1</v>
      </c>
      <c r="V14" s="19">
        <f t="shared" si="1"/>
        <v>5</v>
      </c>
      <c r="W14" s="20">
        <f t="shared" si="2"/>
        <v>0.18115942028985507</v>
      </c>
    </row>
    <row r="15" spans="2:23" x14ac:dyDescent="0.3">
      <c r="B15" s="14" t="s">
        <v>19</v>
      </c>
      <c r="C15" s="15">
        <v>7</v>
      </c>
      <c r="D15" s="16"/>
      <c r="E15" s="14"/>
      <c r="F15" s="14"/>
      <c r="G15" s="14">
        <v>5</v>
      </c>
      <c r="H15" s="14">
        <v>5</v>
      </c>
      <c r="I15" s="14">
        <v>4</v>
      </c>
      <c r="J15" s="14">
        <v>4</v>
      </c>
      <c r="K15" s="14">
        <v>4</v>
      </c>
      <c r="L15" s="14">
        <v>4</v>
      </c>
      <c r="M15" s="14">
        <v>5</v>
      </c>
      <c r="N15" s="14">
        <v>5</v>
      </c>
      <c r="O15" s="17">
        <v>3</v>
      </c>
      <c r="P15" s="18">
        <v>3</v>
      </c>
      <c r="Q15" s="18">
        <v>4</v>
      </c>
      <c r="R15" s="18">
        <v>5</v>
      </c>
      <c r="S15" s="18">
        <v>4</v>
      </c>
      <c r="T15" s="19">
        <f t="shared" si="0"/>
        <v>1.3333333333333333</v>
      </c>
      <c r="U15" s="19">
        <v>1</v>
      </c>
      <c r="V15" s="19">
        <f t="shared" si="1"/>
        <v>4</v>
      </c>
      <c r="W15" s="20">
        <f t="shared" si="2"/>
        <v>0.17699115044247787</v>
      </c>
    </row>
    <row r="16" spans="2:23" x14ac:dyDescent="0.3">
      <c r="B16" s="14" t="s">
        <v>20</v>
      </c>
      <c r="C16" s="15">
        <v>8</v>
      </c>
      <c r="D16" s="16">
        <v>3</v>
      </c>
      <c r="E16" s="14"/>
      <c r="F16" s="14"/>
      <c r="G16" s="14">
        <v>3</v>
      </c>
      <c r="H16" s="14">
        <v>5</v>
      </c>
      <c r="I16" s="14">
        <v>5</v>
      </c>
      <c r="J16" s="14">
        <v>3</v>
      </c>
      <c r="K16" s="14">
        <v>3</v>
      </c>
      <c r="L16" s="14">
        <v>4</v>
      </c>
      <c r="M16" s="14"/>
      <c r="N16" s="14">
        <v>5</v>
      </c>
      <c r="O16" s="17">
        <v>3</v>
      </c>
      <c r="P16" s="18">
        <v>5</v>
      </c>
      <c r="Q16" s="18">
        <v>4</v>
      </c>
      <c r="R16" s="18">
        <v>2</v>
      </c>
      <c r="S16" s="18">
        <v>5</v>
      </c>
      <c r="T16" s="19">
        <f t="shared" si="0"/>
        <v>1</v>
      </c>
      <c r="U16" s="19">
        <v>1.2</v>
      </c>
      <c r="V16" s="19">
        <f t="shared" si="1"/>
        <v>3.5999999999999996</v>
      </c>
      <c r="W16" s="20">
        <f t="shared" si="2"/>
        <v>0.19354838709677416</v>
      </c>
    </row>
    <row r="17" spans="2:23" x14ac:dyDescent="0.3">
      <c r="B17" s="14" t="s">
        <v>21</v>
      </c>
      <c r="C17" s="15">
        <v>9</v>
      </c>
      <c r="D17" s="16">
        <v>5</v>
      </c>
      <c r="E17" s="14">
        <v>5</v>
      </c>
      <c r="F17" s="14">
        <v>5</v>
      </c>
      <c r="G17" s="14"/>
      <c r="H17" s="14"/>
      <c r="I17" s="14"/>
      <c r="J17" s="14">
        <v>5</v>
      </c>
      <c r="K17" s="14">
        <v>2</v>
      </c>
      <c r="L17" s="14">
        <v>5</v>
      </c>
      <c r="M17" s="14">
        <v>5</v>
      </c>
      <c r="N17" s="14"/>
      <c r="O17" s="17">
        <v>5</v>
      </c>
      <c r="P17" s="18">
        <v>5</v>
      </c>
      <c r="Q17" s="18">
        <v>5</v>
      </c>
      <c r="R17" s="18">
        <v>3</v>
      </c>
      <c r="S17" s="18">
        <v>5</v>
      </c>
      <c r="T17" s="19">
        <f t="shared" si="0"/>
        <v>1</v>
      </c>
      <c r="U17" s="19">
        <v>1</v>
      </c>
      <c r="V17" s="19">
        <f t="shared" si="1"/>
        <v>5</v>
      </c>
      <c r="W17" s="20">
        <f t="shared" si="2"/>
        <v>0.33333333333333331</v>
      </c>
    </row>
    <row r="18" spans="2:23" x14ac:dyDescent="0.3">
      <c r="B18" s="14" t="s">
        <v>22</v>
      </c>
      <c r="C18" s="15">
        <v>10</v>
      </c>
      <c r="D18" s="16">
        <v>5</v>
      </c>
      <c r="E18" s="14">
        <v>5</v>
      </c>
      <c r="F18" s="14">
        <v>5</v>
      </c>
      <c r="G18" s="14">
        <v>5</v>
      </c>
      <c r="H18" s="14">
        <v>5</v>
      </c>
      <c r="I18" s="14">
        <v>5</v>
      </c>
      <c r="J18" s="14">
        <v>5</v>
      </c>
      <c r="K18" s="14">
        <v>5</v>
      </c>
      <c r="L18" s="14">
        <v>5</v>
      </c>
      <c r="M18" s="14">
        <v>5</v>
      </c>
      <c r="N18" s="14">
        <v>5</v>
      </c>
      <c r="O18" s="17">
        <v>5</v>
      </c>
      <c r="P18" s="18">
        <v>5</v>
      </c>
      <c r="Q18" s="18">
        <v>2</v>
      </c>
      <c r="R18" s="18">
        <v>5</v>
      </c>
      <c r="S18" s="18">
        <v>5</v>
      </c>
      <c r="T18" s="19">
        <f t="shared" si="0"/>
        <v>1</v>
      </c>
      <c r="U18" s="19">
        <v>1.2</v>
      </c>
      <c r="V18" s="19">
        <f t="shared" si="1"/>
        <v>6</v>
      </c>
      <c r="W18" s="20">
        <f t="shared" si="2"/>
        <v>0.6</v>
      </c>
    </row>
    <row r="19" spans="2:23" x14ac:dyDescent="0.3">
      <c r="B19" s="14" t="s">
        <v>36</v>
      </c>
      <c r="C19" s="15">
        <v>11</v>
      </c>
      <c r="D19" s="16"/>
      <c r="E19" s="14"/>
      <c r="F19" s="14"/>
      <c r="G19" s="14">
        <v>5</v>
      </c>
      <c r="H19" s="14">
        <v>5</v>
      </c>
      <c r="I19" s="14"/>
      <c r="J19" s="14"/>
      <c r="K19" s="14"/>
      <c r="L19" s="14"/>
      <c r="M19" s="14"/>
      <c r="N19" s="14"/>
      <c r="O19" s="17">
        <v>3</v>
      </c>
      <c r="P19" s="18">
        <v>3</v>
      </c>
      <c r="Q19" s="18">
        <v>3</v>
      </c>
      <c r="R19" s="18">
        <v>1</v>
      </c>
      <c r="S19" s="18">
        <v>4</v>
      </c>
      <c r="T19" s="19">
        <f t="shared" si="0"/>
        <v>1.3333333333333333</v>
      </c>
      <c r="U19" s="19">
        <v>1</v>
      </c>
      <c r="V19" s="19">
        <f t="shared" si="1"/>
        <v>4</v>
      </c>
      <c r="W19" s="20">
        <f t="shared" si="2"/>
        <v>1</v>
      </c>
    </row>
    <row r="20" spans="2:23" x14ac:dyDescent="0.3">
      <c r="B20" s="21" t="s">
        <v>10</v>
      </c>
      <c r="D20" s="14">
        <f t="shared" ref="D20:N20" si="3">SUMPRODUCT(D9:D19,$V$9:$V$19)</f>
        <v>184.13333333333335</v>
      </c>
      <c r="E20" s="14">
        <f t="shared" si="3"/>
        <v>157.91666666666669</v>
      </c>
      <c r="F20" s="14">
        <f t="shared" si="3"/>
        <v>157.91666666666669</v>
      </c>
      <c r="G20" s="14">
        <f t="shared" si="3"/>
        <v>176.13333333333333</v>
      </c>
      <c r="H20" s="14">
        <f t="shared" si="3"/>
        <v>163.93333333333334</v>
      </c>
      <c r="I20" s="14">
        <f t="shared" si="3"/>
        <v>106</v>
      </c>
      <c r="J20" s="14">
        <f t="shared" si="3"/>
        <v>182.88333333333333</v>
      </c>
      <c r="K20" s="14">
        <f t="shared" si="3"/>
        <v>155.13333333333333</v>
      </c>
      <c r="L20" s="14">
        <f t="shared" si="3"/>
        <v>208.31666666666669</v>
      </c>
      <c r="M20" s="14">
        <f t="shared" si="3"/>
        <v>196.91666666666669</v>
      </c>
      <c r="N20" s="14">
        <f t="shared" si="3"/>
        <v>193</v>
      </c>
    </row>
    <row r="21" spans="2:23" x14ac:dyDescent="0.3">
      <c r="B21" s="22" t="s">
        <v>11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23" ht="53.4" x14ac:dyDescent="0.3">
      <c r="B22" s="14" t="s">
        <v>12</v>
      </c>
      <c r="C22" s="7"/>
      <c r="D22" s="7">
        <v>8</v>
      </c>
      <c r="E22" s="7" t="s">
        <v>25</v>
      </c>
      <c r="F22" s="7" t="s">
        <v>27</v>
      </c>
      <c r="G22" s="7"/>
      <c r="H22" s="7"/>
      <c r="I22" s="7"/>
      <c r="J22" s="7"/>
      <c r="K22" s="7"/>
      <c r="L22" s="7"/>
      <c r="M22" s="7"/>
      <c r="N22" s="7"/>
    </row>
  </sheetData>
  <conditionalFormatting sqref="D21:N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:W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200932CE-47A6-4F42-93E0-D76ED643E51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D8:N8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</dc:creator>
  <cp:lastModifiedBy>Diego V</cp:lastModifiedBy>
  <cp:lastPrinted>2026-06-10T16:19:01Z</cp:lastPrinted>
  <dcterms:created xsi:type="dcterms:W3CDTF">2026-06-08T16:45:21Z</dcterms:created>
  <dcterms:modified xsi:type="dcterms:W3CDTF">2026-06-10T16:19:05Z</dcterms:modified>
</cp:coreProperties>
</file>